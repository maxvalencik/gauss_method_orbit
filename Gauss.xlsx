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9195a36c918af/Documents/MSU-PhD/Courses/ASE6813-Advanced Orbital Mechanics/Assignments/HW3/"/>
    </mc:Choice>
  </mc:AlternateContent>
  <xr:revisionPtr revIDLastSave="29" documentId="8_{F7112D65-37D9-1843-B1C4-D8AF63318F43}" xr6:coauthVersionLast="47" xr6:coauthVersionMax="47" xr10:uidLastSave="{CF41D4BF-7E9E-FA41-8E47-DA246FCC1BBF}"/>
  <bookViews>
    <workbookView xWindow="0" yWindow="780" windowWidth="36000" windowHeight="22600" xr2:uid="{790508B9-744B-5046-8744-9D14D6A4A603}"/>
  </bookViews>
  <sheets>
    <sheet name="Gauss Meth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7" i="1"/>
  <c r="B87" i="1"/>
  <c r="B57" i="1"/>
  <c r="B28" i="1"/>
  <c r="B23" i="1"/>
  <c r="B22" i="1"/>
  <c r="B29" i="1" l="1"/>
  <c r="D28" i="1"/>
  <c r="C29" i="1"/>
  <c r="B30" i="1"/>
  <c r="D29" i="1"/>
  <c r="C30" i="1"/>
  <c r="D30" i="1"/>
  <c r="B24" i="1"/>
  <c r="B42" i="1" s="1"/>
  <c r="C28" i="1"/>
  <c r="D39" i="1" l="1"/>
  <c r="D38" i="1"/>
  <c r="D37" i="1"/>
  <c r="B43" i="1"/>
  <c r="C39" i="1"/>
  <c r="C38" i="1"/>
  <c r="C37" i="1"/>
  <c r="B38" i="1"/>
  <c r="B39" i="1"/>
  <c r="B47" i="1" l="1"/>
  <c r="B45" i="1"/>
  <c r="D51" i="1" s="1"/>
  <c r="B46" i="1"/>
  <c r="B52" i="1" s="1"/>
  <c r="C51" i="1"/>
  <c r="D53" i="1"/>
  <c r="C53" i="1"/>
  <c r="B53" i="1"/>
  <c r="E53" i="1" s="1"/>
  <c r="B51" i="1" l="1"/>
  <c r="D52" i="1"/>
  <c r="C52" i="1"/>
  <c r="E52" i="1" s="1"/>
  <c r="E51" i="1"/>
  <c r="B58" i="1" l="1"/>
  <c r="B59" i="1" l="1"/>
  <c r="B61" i="1" s="1"/>
  <c r="B60" i="1"/>
  <c r="B64" i="1" s="1"/>
  <c r="B65" i="1" l="1"/>
  <c r="B66" i="1"/>
  <c r="B67" i="1" s="1"/>
  <c r="B68" i="1" l="1"/>
  <c r="B72" i="1"/>
  <c r="B71" i="1"/>
  <c r="B73" i="1" l="1"/>
  <c r="B75" i="1" s="1"/>
  <c r="B74" i="1"/>
  <c r="B79" i="1" l="1"/>
  <c r="B78" i="1"/>
  <c r="B80" i="1" s="1"/>
  <c r="B82" i="1" l="1"/>
  <c r="B81" i="1"/>
  <c r="B86" i="1" l="1"/>
  <c r="B93" i="1" s="1"/>
  <c r="B85" i="1"/>
  <c r="B92" i="1" l="1"/>
  <c r="B97" i="1" s="1"/>
  <c r="B89" i="1"/>
  <c r="B88" i="1"/>
  <c r="C103" i="1" l="1"/>
  <c r="B103" i="1"/>
  <c r="D103" i="1"/>
  <c r="B95" i="1"/>
  <c r="B96" i="1"/>
  <c r="E103" i="1" l="1"/>
  <c r="C102" i="1"/>
  <c r="B102" i="1"/>
  <c r="D102" i="1"/>
  <c r="D101" i="1"/>
  <c r="B101" i="1"/>
  <c r="C101" i="1"/>
  <c r="E101" i="1" l="1"/>
  <c r="E102" i="1"/>
  <c r="B110" i="1" l="1"/>
  <c r="B107" i="1"/>
  <c r="B108" i="1"/>
  <c r="B109" i="1"/>
  <c r="B111" i="1" l="1"/>
  <c r="D115" i="1" s="1"/>
  <c r="C115" i="1"/>
  <c r="B115" i="1"/>
  <c r="B122" i="1" l="1"/>
  <c r="E115" i="1"/>
  <c r="B131" i="1" s="1"/>
  <c r="B121" i="1"/>
  <c r="B126" i="1" s="1"/>
  <c r="B132" i="1"/>
  <c r="B120" i="1"/>
  <c r="B123" i="1" l="1"/>
  <c r="B127" i="1"/>
  <c r="B128" i="1" s="1"/>
  <c r="B135" i="1"/>
  <c r="B134" i="1"/>
  <c r="B133" i="1"/>
  <c r="B139" i="1" l="1"/>
  <c r="B150" i="1" s="1"/>
  <c r="B142" i="1"/>
  <c r="B140" i="1"/>
  <c r="B141" i="1"/>
  <c r="B144" i="1" l="1"/>
  <c r="B143" i="1"/>
  <c r="B148" i="1"/>
  <c r="B149" i="1"/>
  <c r="B147" i="1"/>
</calcChain>
</file>

<file path=xl/sharedStrings.xml><?xml version="1.0" encoding="utf-8"?>
<sst xmlns="http://schemas.openxmlformats.org/spreadsheetml/2006/main" count="152" uniqueCount="127">
  <si>
    <t>SECTION 1: CONSTANTS &amp; OBSERVATION INPUTS</t>
  </si>
  <si>
    <t>Rₓ (km)</t>
  </si>
  <si>
    <t>Rᵧ (km)</t>
  </si>
  <si>
    <t>R_z (km)</t>
  </si>
  <si>
    <t>Obs 1</t>
  </si>
  <si>
    <t>Obs 2</t>
  </si>
  <si>
    <t>Obs 3</t>
  </si>
  <si>
    <t>GAUSS'S METHOD — Preliminary Orbit Determination</t>
  </si>
  <si>
    <t>ρ̂ₓ</t>
  </si>
  <si>
    <t>ρ̂ᵧ</t>
  </si>
  <si>
    <t>SECTION 3: TIME INTERVALS</t>
  </si>
  <si>
    <t>x</t>
  </si>
  <si>
    <t>y</t>
  </si>
  <si>
    <t>z</t>
  </si>
  <si>
    <t>D₀</t>
  </si>
  <si>
    <t>Dᵢⱼ</t>
  </si>
  <si>
    <t>j=1</t>
  </si>
  <si>
    <t>j=2</t>
  </si>
  <si>
    <t>j=3</t>
  </si>
  <si>
    <t>ρ₁ (km)</t>
  </si>
  <si>
    <t>ρ₂ (km)</t>
  </si>
  <si>
    <t>ρ₃ (km)</t>
  </si>
  <si>
    <t>rₓ (km)</t>
  </si>
  <si>
    <t>rᵧ (km)</t>
  </si>
  <si>
    <t>r_z (km)</t>
  </si>
  <si>
    <t>|r| (km)</t>
  </si>
  <si>
    <t>Velocity v₂</t>
  </si>
  <si>
    <t>vₓ (km/s)</t>
  </si>
  <si>
    <t>vᵧ (km/s)</t>
  </si>
  <si>
    <t>v_z (km/s)</t>
  </si>
  <si>
    <t>|v| (km/s)</t>
  </si>
  <si>
    <t>v₂</t>
  </si>
  <si>
    <t>hₓ</t>
  </si>
  <si>
    <t>hᵧ</t>
  </si>
  <si>
    <t>h_z</t>
  </si>
  <si>
    <t>|N|</t>
  </si>
  <si>
    <t>eₓ</t>
  </si>
  <si>
    <t>eᵧ</t>
  </si>
  <si>
    <t>e_z</t>
  </si>
  <si>
    <t>Element</t>
  </si>
  <si>
    <t>Value</t>
  </si>
  <si>
    <t>Unit</t>
  </si>
  <si>
    <t>Eccentricity (e)</t>
  </si>
  <si>
    <t>—</t>
  </si>
  <si>
    <t>Semi-major axis (a)</t>
  </si>
  <si>
    <t>km</t>
  </si>
  <si>
    <t>Inclination (i)</t>
  </si>
  <si>
    <t>deg</t>
  </si>
  <si>
    <t>RAAN (Ω)</t>
  </si>
  <si>
    <t>Arg. of Perigee (ω)</t>
  </si>
  <si>
    <t>Derived Parameters</t>
  </si>
  <si>
    <t>Orbit Type</t>
  </si>
  <si>
    <t>ρ₁⁰ (km)</t>
  </si>
  <si>
    <t>ρ₂⁰ (km)</t>
  </si>
  <si>
    <t>ρ₃⁰ (km)</t>
  </si>
  <si>
    <t>rₓ</t>
  </si>
  <si>
    <t>rᵧ</t>
  </si>
  <si>
    <t>r_z</t>
  </si>
  <si>
    <t>|r|</t>
  </si>
  <si>
    <t>Δρ₂</t>
  </si>
  <si>
    <t>μ (km³/s²)</t>
  </si>
  <si>
    <t>t (s)</t>
  </si>
  <si>
    <t>α (deg)</t>
  </si>
  <si>
    <t>δ (deg)</t>
  </si>
  <si>
    <t>Geocentric Equatorial | Angles: deg | Distances: km | Time: s</t>
  </si>
  <si>
    <t>SECTION 2: LINE-OF-SIGHT UNIT VECTORS</t>
  </si>
  <si>
    <t>ρ̂1</t>
  </si>
  <si>
    <t>ρ̂2</t>
  </si>
  <si>
    <t>ρ̂3</t>
  </si>
  <si>
    <t>τ₁ = t₁−t₂</t>
  </si>
  <si>
    <t>τ₃ = t₃−t₂</t>
  </si>
  <si>
    <t>τ = τ₃−τ₁</t>
  </si>
  <si>
    <t>SECTION 4: CROSS PRODUCTS p₁=ρ̂₂×ρ̂₃, p₂=ρ̂₁×ρ̂₃, p₃=ρ̂₁×ρ̂₂</t>
  </si>
  <si>
    <t>p₁</t>
  </si>
  <si>
    <t>p₂</t>
  </si>
  <si>
    <t>p₃</t>
  </si>
  <si>
    <t>SECTION 5: D₀ = ρ̂₁ · p₁</t>
  </si>
  <si>
    <t>SECTION 6: D-MATRIX Dᵢⱼ = Rᵢ · pⱼ</t>
  </si>
  <si>
    <t>i=1</t>
  </si>
  <si>
    <t>i=2</t>
  </si>
  <si>
    <t>i=3</t>
  </si>
  <si>
    <t>SECTION 7: ZEROTH-ORDER APPROXIMATION</t>
  </si>
  <si>
    <t>c₁⁰=τ₃/τ</t>
  </si>
  <si>
    <t>c₃⁰=−τ₁/τ</t>
  </si>
  <si>
    <t>Zeroth-order positions</t>
  </si>
  <si>
    <t>r1⁰</t>
  </si>
  <si>
    <t>r2⁰</t>
  </si>
  <si>
    <t>r3⁰</t>
  </si>
  <si>
    <t>SECTION 8: ITERATIVE REFINEMENT</t>
  </si>
  <si>
    <t>— Iteration 1 —</t>
  </si>
  <si>
    <t>c₁</t>
  </si>
  <si>
    <t>c₃</t>
  </si>
  <si>
    <t>ρ₂</t>
  </si>
  <si>
    <t>|r₂|</t>
  </si>
  <si>
    <t>— Iteration 2 —</t>
  </si>
  <si>
    <t>— Iteration 3 —</t>
  </si>
  <si>
    <t>— Iteration 4 —</t>
  </si>
  <si>
    <t>— Iteration 5 —</t>
  </si>
  <si>
    <t>SECTION 9: CONVERGED SLANT RANGES &amp; POSITION VECTORS</t>
  </si>
  <si>
    <t>Final c₁</t>
  </si>
  <si>
    <t>Final c₃</t>
  </si>
  <si>
    <t>Final Position Vectors</t>
  </si>
  <si>
    <t>r1</t>
  </si>
  <si>
    <t>r2</t>
  </si>
  <si>
    <t>r3</t>
  </si>
  <si>
    <t>SECTION 10: VELOCITY v₂ VIA LAGRANGE COEFFICIENTS</t>
  </si>
  <si>
    <t>f₁ = 1−μτ₁²/(2|r₂|³)</t>
  </si>
  <si>
    <t>g₁ = τ₁−μτ₁³/(6|r₂|³)</t>
  </si>
  <si>
    <t>f₃ = 1−μτ₃²/(2|r₂|³)</t>
  </si>
  <si>
    <t>g₃ = τ₃−μτ₃³/(6|r₂|³)</t>
  </si>
  <si>
    <t>Δ = f₁g₃−f₃g₁</t>
  </si>
  <si>
    <t>SECTION 11: CLASSICAL ORBITAL ELEMENTS</t>
  </si>
  <si>
    <t>Angular Momentum h = r₂×v₂</t>
  </si>
  <si>
    <t>|h|</t>
  </si>
  <si>
    <t>Node Vector N = k̂×h</t>
  </si>
  <si>
    <t>Nₓ = −hᵧ</t>
  </si>
  <si>
    <t>Nᵧ = hₓ</t>
  </si>
  <si>
    <t>Eccentricity Vector</t>
  </si>
  <si>
    <t>v²</t>
  </si>
  <si>
    <t>r₂·v₂</t>
  </si>
  <si>
    <t>SECTION 12: ORBITAL ELEMENTS SUMMARY</t>
  </si>
  <si>
    <t>True Anomaly (θ₂)</t>
  </si>
  <si>
    <t>Periapsis (rₚ)</t>
  </si>
  <si>
    <t>Apoapsis (rₐ)</t>
  </si>
  <si>
    <t>Period (T)</t>
  </si>
  <si>
    <t>min</t>
  </si>
  <si>
    <t>ρ̂z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</si>
</sst>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"/>
    <numFmt numFmtId="165" formatCode="#,##0.000"/>
    <numFmt numFmtId="166" formatCode="0.0000"/>
    <numFmt numFmtId="167" formatCode="0.000000"/>
    <numFmt numFmtId="168" formatCode="0.000000000"/>
    <numFmt numFmtId="169" formatCode="#,##0.000000"/>
    <numFmt numFmtId="170" formatCode="0.000E+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0"/>
      <color rgb="FF4472C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i/>
      <sz val="12"/>
      <color rgb="FF008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6" fillId="0" borderId="0" xfId="0" applyNumberFormat="1" applyFont="1"/>
    <xf numFmtId="0" fontId="4" fillId="0" borderId="0" xfId="0" applyFont="1"/>
    <xf numFmtId="0" fontId="1" fillId="4" borderId="0" xfId="0" applyFont="1" applyFill="1" applyAlignment="1">
      <alignment horizontal="center"/>
    </xf>
    <xf numFmtId="166" fontId="6" fillId="0" borderId="0" xfId="0" applyNumberFormat="1" applyFont="1"/>
    <xf numFmtId="167" fontId="0" fillId="0" borderId="0" xfId="0" applyNumberForma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70" fontId="0" fillId="0" borderId="0" xfId="0" applyNumberFormat="1"/>
    <xf numFmtId="167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4" fontId="0" fillId="0" borderId="0" xfId="0" applyNumberFormat="1"/>
    <xf numFmtId="0" fontId="1" fillId="5" borderId="0" xfId="0" applyFont="1" applyFill="1"/>
    <xf numFmtId="0" fontId="7" fillId="0" borderId="0" xfId="0" applyFont="1"/>
    <xf numFmtId="0" fontId="1" fillId="6" borderId="0" xfId="0" applyFont="1" applyFill="1"/>
    <xf numFmtId="4" fontId="6" fillId="0" borderId="0" xfId="0" applyNumberFormat="1" applyFont="1"/>
    <xf numFmtId="167" fontId="6" fillId="0" borderId="0" xfId="0" applyNumberFormat="1" applyFont="1"/>
    <xf numFmtId="0" fontId="5" fillId="3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BC2729-9209-9644-AB83-8E752333552B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BD35-7DCC-5E48-AA7D-5A4BB61DF28A}">
  <dimension ref="A1:G150"/>
  <sheetViews>
    <sheetView tabSelected="1" zoomScale="133" zoomScaleNormal="133" workbookViewId="0">
      <pane ySplit="2" topLeftCell="A12" activePane="bottomLeft" state="frozen"/>
      <selection pane="bottomLeft" activeCell="J30" sqref="J30"/>
    </sheetView>
  </sheetViews>
  <sheetFormatPr baseColWidth="10" defaultRowHeight="16" x14ac:dyDescent="0.2"/>
  <cols>
    <col min="1" max="1" width="38.33203125" customWidth="1"/>
    <col min="2" max="7" width="20" customWidth="1"/>
    <col min="8" max="8" width="2.5" customWidth="1"/>
    <col min="9" max="9" width="33.33203125" customWidth="1"/>
    <col min="10" max="11" width="20" customWidth="1"/>
  </cols>
  <sheetData>
    <row r="1" spans="1:7" ht="19" x14ac:dyDescent="0.25">
      <c r="A1" s="22" t="s">
        <v>7</v>
      </c>
      <c r="B1" s="22"/>
      <c r="C1" s="22"/>
      <c r="D1" s="22"/>
      <c r="E1" s="22"/>
      <c r="F1" s="22"/>
      <c r="G1" s="22"/>
    </row>
    <row r="2" spans="1:7" x14ac:dyDescent="0.2">
      <c r="A2" s="23" t="s">
        <v>64</v>
      </c>
      <c r="B2" s="23"/>
      <c r="C2" s="23"/>
      <c r="D2" s="23"/>
      <c r="E2" s="23"/>
      <c r="F2" s="23"/>
      <c r="G2" s="23"/>
    </row>
    <row r="4" spans="1:7" x14ac:dyDescent="0.2">
      <c r="A4" s="21" t="s">
        <v>0</v>
      </c>
      <c r="B4" s="21"/>
      <c r="C4" s="21"/>
      <c r="D4" s="21"/>
      <c r="E4" s="21"/>
      <c r="F4" s="21"/>
      <c r="G4" s="21"/>
    </row>
    <row r="6" spans="1:7" x14ac:dyDescent="0.2">
      <c r="A6" s="1" t="s">
        <v>60</v>
      </c>
      <c r="B6" s="2">
        <v>398600.44179999997</v>
      </c>
    </row>
    <row r="8" spans="1:7" x14ac:dyDescent="0.2">
      <c r="A8" s="4"/>
      <c r="B8" s="4" t="s">
        <v>61</v>
      </c>
      <c r="C8" s="4" t="s">
        <v>62</v>
      </c>
      <c r="D8" s="4" t="s">
        <v>63</v>
      </c>
      <c r="E8" s="4" t="s">
        <v>1</v>
      </c>
      <c r="F8" s="4" t="s">
        <v>2</v>
      </c>
      <c r="G8" s="4" t="s">
        <v>3</v>
      </c>
    </row>
    <row r="9" spans="1:7" x14ac:dyDescent="0.2">
      <c r="A9" s="1" t="s">
        <v>4</v>
      </c>
      <c r="B9" s="19">
        <v>0</v>
      </c>
      <c r="C9" s="5"/>
      <c r="D9" s="5"/>
      <c r="E9" s="20">
        <v>-5426</v>
      </c>
      <c r="F9" s="20">
        <v>-2530</v>
      </c>
      <c r="G9" s="20">
        <v>2179</v>
      </c>
    </row>
    <row r="10" spans="1:7" x14ac:dyDescent="0.2">
      <c r="A10" s="1" t="s">
        <v>5</v>
      </c>
      <c r="B10" s="19">
        <v>60</v>
      </c>
      <c r="C10" s="5"/>
      <c r="D10" s="5"/>
      <c r="E10" s="20">
        <v>-5414.8786689999997</v>
      </c>
      <c r="F10" s="20">
        <v>-2553.715921</v>
      </c>
      <c r="G10" s="20">
        <v>2179</v>
      </c>
    </row>
    <row r="11" spans="1:7" x14ac:dyDescent="0.2">
      <c r="A11" s="1" t="s">
        <v>6</v>
      </c>
      <c r="B11" s="19">
        <v>120</v>
      </c>
      <c r="C11" s="5"/>
      <c r="D11" s="5"/>
      <c r="E11" s="20">
        <v>-5403.6553679999997</v>
      </c>
      <c r="F11" s="20">
        <v>-2544.3829559999999</v>
      </c>
      <c r="G11" s="20">
        <v>2179</v>
      </c>
    </row>
    <row r="13" spans="1:7" x14ac:dyDescent="0.2">
      <c r="A13" s="17"/>
    </row>
    <row r="15" spans="1:7" x14ac:dyDescent="0.2">
      <c r="A15" s="21" t="s">
        <v>65</v>
      </c>
      <c r="B15" s="21"/>
      <c r="C15" s="21"/>
      <c r="D15" s="21"/>
      <c r="E15" s="21"/>
      <c r="F15" s="21"/>
      <c r="G15" s="21"/>
    </row>
    <row r="16" spans="1:7" x14ac:dyDescent="0.2">
      <c r="A16" s="4"/>
      <c r="B16" s="4" t="s">
        <v>8</v>
      </c>
      <c r="C16" s="4" t="s">
        <v>9</v>
      </c>
      <c r="D16" s="4" t="s">
        <v>126</v>
      </c>
    </row>
    <row r="17" spans="1:7" x14ac:dyDescent="0.2">
      <c r="A17" s="1" t="s">
        <v>66</v>
      </c>
      <c r="B17" s="8">
        <v>-0.91357699999999997</v>
      </c>
      <c r="C17" s="8">
        <v>-0.39950200000000002</v>
      </c>
      <c r="D17" s="8">
        <v>7.5990000000000002E-2</v>
      </c>
    </row>
    <row r="18" spans="1:7" x14ac:dyDescent="0.2">
      <c r="A18" s="1" t="s">
        <v>67</v>
      </c>
      <c r="B18" s="8">
        <v>-0.82609299999999997</v>
      </c>
      <c r="C18" s="8">
        <v>-0.56188899999999997</v>
      </c>
      <c r="D18" s="8">
        <v>-4.3021999999999998E-2</v>
      </c>
    </row>
    <row r="19" spans="1:7" x14ac:dyDescent="0.2">
      <c r="A19" s="1" t="s">
        <v>68</v>
      </c>
      <c r="B19" s="8">
        <v>-0.71359799999999995</v>
      </c>
      <c r="C19" s="8">
        <v>-0.68420800000000004</v>
      </c>
      <c r="D19" s="8">
        <v>-0.15045700000000001</v>
      </c>
    </row>
    <row r="21" spans="1:7" x14ac:dyDescent="0.2">
      <c r="A21" s="21" t="s">
        <v>10</v>
      </c>
      <c r="B21" s="21"/>
      <c r="C21" s="21"/>
      <c r="D21" s="21"/>
      <c r="E21" s="21"/>
      <c r="F21" s="21"/>
      <c r="G21" s="21"/>
    </row>
    <row r="22" spans="1:7" x14ac:dyDescent="0.2">
      <c r="A22" s="1" t="s">
        <v>69</v>
      </c>
      <c r="B22" s="7">
        <f>B9-B10</f>
        <v>-60</v>
      </c>
    </row>
    <row r="23" spans="1:7" x14ac:dyDescent="0.2">
      <c r="A23" s="1" t="s">
        <v>70</v>
      </c>
      <c r="B23" s="7">
        <f>B11-B10</f>
        <v>60</v>
      </c>
    </row>
    <row r="24" spans="1:7" x14ac:dyDescent="0.2">
      <c r="A24" s="1" t="s">
        <v>71</v>
      </c>
      <c r="B24" s="7">
        <f>B23-B22</f>
        <v>120</v>
      </c>
    </row>
    <row r="26" spans="1:7" x14ac:dyDescent="0.2">
      <c r="A26" s="21" t="s">
        <v>72</v>
      </c>
      <c r="B26" s="21"/>
      <c r="C26" s="21"/>
      <c r="D26" s="21"/>
      <c r="E26" s="21"/>
      <c r="F26" s="21"/>
      <c r="G26" s="21"/>
    </row>
    <row r="27" spans="1:7" x14ac:dyDescent="0.2">
      <c r="A27" s="4"/>
      <c r="B27" s="4" t="s">
        <v>11</v>
      </c>
      <c r="C27" s="4" t="s">
        <v>12</v>
      </c>
      <c r="D27" s="4" t="s">
        <v>13</v>
      </c>
    </row>
    <row r="28" spans="1:7" x14ac:dyDescent="0.2">
      <c r="A28" s="1" t="s">
        <v>73</v>
      </c>
      <c r="B28" s="8">
        <f>C18*D19-D18*C19</f>
        <v>5.5104136696999997E-2</v>
      </c>
      <c r="C28" s="8">
        <f>D18*B19-B18*D19</f>
        <v>-9.3591061345000004E-2</v>
      </c>
      <c r="D28" s="8">
        <f>B18*C19-C18*B19</f>
        <v>0.164256572722</v>
      </c>
    </row>
    <row r="29" spans="1:7" x14ac:dyDescent="0.2">
      <c r="A29" s="1" t="s">
        <v>74</v>
      </c>
      <c r="B29" s="8">
        <f>C17*D19-D17*C19</f>
        <v>0.112100838334</v>
      </c>
      <c r="C29" s="8">
        <f>D17*B19-B17*D19</f>
        <v>-0.19168036670900002</v>
      </c>
      <c r="D29" s="8">
        <f>B17*C19-C17*B19</f>
        <v>0.33999286382000005</v>
      </c>
    </row>
    <row r="30" spans="1:7" x14ac:dyDescent="0.2">
      <c r="A30" s="1" t="s">
        <v>75</v>
      </c>
      <c r="B30" s="8">
        <f>C17*D18-D17*C18</f>
        <v>5.9885320153999999E-2</v>
      </c>
      <c r="C30" s="8">
        <f>D17*B18-B17*D18</f>
        <v>-0.10207871676399999</v>
      </c>
      <c r="D30" s="8">
        <f>B17*C18-C17*B18</f>
        <v>0.18330306126699997</v>
      </c>
    </row>
    <row r="32" spans="1:7" x14ac:dyDescent="0.2">
      <c r="A32" s="21" t="s">
        <v>76</v>
      </c>
      <c r="B32" s="21"/>
      <c r="C32" s="21"/>
      <c r="D32" s="21"/>
      <c r="E32" s="21"/>
      <c r="F32" s="21"/>
      <c r="G32" s="21"/>
    </row>
    <row r="33" spans="1:7" x14ac:dyDescent="0.2">
      <c r="A33" s="1" t="s">
        <v>14</v>
      </c>
      <c r="B33" s="8">
        <f>B17*B28+C17*C28+D17*D28</f>
        <v>-4.7019874064019307E-4</v>
      </c>
    </row>
    <row r="35" spans="1:7" x14ac:dyDescent="0.2">
      <c r="A35" s="21" t="s">
        <v>77</v>
      </c>
      <c r="B35" s="21"/>
      <c r="C35" s="21"/>
      <c r="D35" s="21"/>
      <c r="E35" s="21"/>
      <c r="F35" s="21"/>
      <c r="G35" s="21"/>
    </row>
    <row r="36" spans="1:7" x14ac:dyDescent="0.2">
      <c r="A36" s="4" t="s">
        <v>15</v>
      </c>
      <c r="B36" s="4" t="s">
        <v>16</v>
      </c>
      <c r="C36" s="4" t="s">
        <v>17</v>
      </c>
      <c r="D36" s="4" t="s">
        <v>18</v>
      </c>
    </row>
    <row r="37" spans="1:7" x14ac:dyDescent="0.2">
      <c r="A37" s="1" t="s">
        <v>78</v>
      </c>
      <c r="B37" s="9">
        <f>E9*B28+F9*C28+G9*D28</f>
        <v>295.70541144616607</v>
      </c>
      <c r="C37" s="9">
        <f>E9*B29+F9*C29+G9*D29</f>
        <v>617.5366292372662</v>
      </c>
      <c r="D37" s="9">
        <f>E9*B30+F9*C30+G9*D30</f>
        <v>332.73877675810888</v>
      </c>
    </row>
    <row r="38" spans="1:7" x14ac:dyDescent="0.2">
      <c r="A38" s="1" t="s">
        <v>79</v>
      </c>
      <c r="B38" s="9">
        <f>E10*B28+F10*C28+G10*D28</f>
        <v>298.53784100700682</v>
      </c>
      <c r="C38" s="9">
        <f>E10*B29+F10*C29+G10*D29</f>
        <v>623.32921619987769</v>
      </c>
      <c r="D38" s="9">
        <f>E10*B30+F10*C30+G10*D30</f>
        <v>335.82567200813889</v>
      </c>
    </row>
    <row r="39" spans="1:7" x14ac:dyDescent="0.2">
      <c r="A39" s="1" t="s">
        <v>80</v>
      </c>
      <c r="B39" s="9">
        <f>E11*B28+F11*C28+G11*D28</f>
        <v>298.28280921965666</v>
      </c>
      <c r="C39" s="9">
        <f>E11*B29+F11*C29+G11*D29</f>
        <v>622.79841149717026</v>
      </c>
      <c r="D39" s="9">
        <f>E11*B30+F11*C30+G11*D30</f>
        <v>335.54508589090528</v>
      </c>
    </row>
    <row r="41" spans="1:7" x14ac:dyDescent="0.2">
      <c r="A41" s="21" t="s">
        <v>81</v>
      </c>
      <c r="B41" s="21"/>
      <c r="C41" s="21"/>
      <c r="D41" s="21"/>
      <c r="E41" s="21"/>
      <c r="F41" s="21"/>
      <c r="G41" s="21"/>
    </row>
    <row r="42" spans="1:7" x14ac:dyDescent="0.2">
      <c r="A42" s="1" t="s">
        <v>82</v>
      </c>
      <c r="B42" s="8">
        <f>B23/B24</f>
        <v>0.5</v>
      </c>
    </row>
    <row r="43" spans="1:7" x14ac:dyDescent="0.2">
      <c r="A43" s="1" t="s">
        <v>83</v>
      </c>
      <c r="B43" s="8">
        <f>-B22/B24</f>
        <v>0.5</v>
      </c>
    </row>
    <row r="45" spans="1:7" x14ac:dyDescent="0.2">
      <c r="A45" s="1" t="s">
        <v>52</v>
      </c>
      <c r="B45" s="10">
        <f>(1/(B42*B33))*(-B42*B37+B38-B43*B39)</f>
        <v>-6566.2901265690771</v>
      </c>
    </row>
    <row r="46" spans="1:7" x14ac:dyDescent="0.2">
      <c r="A46" s="1" t="s">
        <v>53</v>
      </c>
      <c r="B46" s="10">
        <f>(1/B33)*(-B42*C37+C38-B43*C39)</f>
        <v>-6724.1690787063681</v>
      </c>
    </row>
    <row r="47" spans="1:7" x14ac:dyDescent="0.2">
      <c r="A47" s="1" t="s">
        <v>54</v>
      </c>
      <c r="B47" s="10">
        <f>(1/(B43*B33))*(-B42*D37+D38-B43*D39)</f>
        <v>-7161.8255775816651</v>
      </c>
    </row>
    <row r="49" spans="1:7" x14ac:dyDescent="0.2">
      <c r="A49" s="1" t="s">
        <v>84</v>
      </c>
    </row>
    <row r="50" spans="1:7" x14ac:dyDescent="0.2">
      <c r="A50" s="4"/>
      <c r="B50" s="4" t="s">
        <v>55</v>
      </c>
      <c r="C50" s="4" t="s">
        <v>56</v>
      </c>
      <c r="D50" s="4" t="s">
        <v>57</v>
      </c>
      <c r="E50" s="4" t="s">
        <v>58</v>
      </c>
    </row>
    <row r="51" spans="1:7" x14ac:dyDescent="0.2">
      <c r="A51" s="1" t="s">
        <v>85</v>
      </c>
      <c r="B51" s="10">
        <f>E9+B45*B17</f>
        <v>572.81163496059798</v>
      </c>
      <c r="C51" s="10">
        <f>F9+B45*C17</f>
        <v>93.246038144599424</v>
      </c>
      <c r="D51" s="10">
        <f>G9+B45*D17</f>
        <v>1680.0276132820159</v>
      </c>
      <c r="E51" s="10">
        <f>SQRT(B51^2+C51^2+D51^2)</f>
        <v>1777.442199950807</v>
      </c>
    </row>
    <row r="52" spans="1:7" x14ac:dyDescent="0.2">
      <c r="A52" s="1" t="s">
        <v>86</v>
      </c>
      <c r="B52" s="10">
        <f>E10+B46*B18</f>
        <v>139.91033773577965</v>
      </c>
      <c r="C52" s="10">
        <f>F10+B46*C18</f>
        <v>1224.5207184652422</v>
      </c>
      <c r="D52" s="10">
        <f>G10+B46*D18</f>
        <v>2468.2872021041053</v>
      </c>
      <c r="E52" s="10">
        <f>SQRT(B52^2+C52^2+D52^2)</f>
        <v>2758.888835133972</v>
      </c>
    </row>
    <row r="53" spans="1:7" x14ac:dyDescent="0.2">
      <c r="A53" s="1" t="s">
        <v>87</v>
      </c>
      <c r="B53" s="10">
        <f>E11+B47*B19</f>
        <v>-292.99095948887862</v>
      </c>
      <c r="C53" s="10">
        <f>F11+B47*C19</f>
        <v>2355.795398785996</v>
      </c>
      <c r="D53" s="10">
        <f>G11+B47*D19</f>
        <v>3256.5467909262047</v>
      </c>
      <c r="E53" s="10">
        <f>SQRT(B53^2+C53^2+D53^2)</f>
        <v>4029.9767573492586</v>
      </c>
    </row>
    <row r="55" spans="1:7" x14ac:dyDescent="0.2">
      <c r="A55" s="21" t="s">
        <v>88</v>
      </c>
      <c r="B55" s="21"/>
      <c r="C55" s="21"/>
      <c r="D55" s="21"/>
      <c r="E55" s="21"/>
      <c r="F55" s="21"/>
      <c r="G55" s="21"/>
    </row>
    <row r="56" spans="1:7" x14ac:dyDescent="0.2">
      <c r="A56" s="18" t="s">
        <v>89</v>
      </c>
    </row>
    <row r="57" spans="1:7" x14ac:dyDescent="0.2">
      <c r="A57" s="1" t="s">
        <v>90</v>
      </c>
      <c r="B57" s="8">
        <f>(B23/B24)*(1+(B6/(6*E52^3))*(B24^2-B23^2))</f>
        <v>0.51708353257827278</v>
      </c>
    </row>
    <row r="58" spans="1:7" x14ac:dyDescent="0.2">
      <c r="A58" s="1" t="s">
        <v>91</v>
      </c>
      <c r="B58" s="8">
        <f>-(B22/B24)*(1+(B6/(6*E52^3))*(B24^2-B22^2))</f>
        <v>0.51708353257827278</v>
      </c>
    </row>
    <row r="59" spans="1:7" x14ac:dyDescent="0.2">
      <c r="A59" s="1" t="s">
        <v>92</v>
      </c>
      <c r="B59" s="10">
        <f>(1/B33)*(-B57*C37+C38-B58*C39)</f>
        <v>38340.400952914744</v>
      </c>
    </row>
    <row r="60" spans="1:7" x14ac:dyDescent="0.2">
      <c r="A60" s="1" t="s">
        <v>93</v>
      </c>
      <c r="B60" s="10">
        <f>SQRT((E10+B59*B18)^2+(F10+B59*C18)^2+(G10+B59*D18)^2)</f>
        <v>44231.501459267143</v>
      </c>
    </row>
    <row r="61" spans="1:7" x14ac:dyDescent="0.2">
      <c r="A61" s="1" t="s">
        <v>59</v>
      </c>
      <c r="B61" s="11">
        <f>ABS(B59-B46)</f>
        <v>45064.570031621115</v>
      </c>
    </row>
    <row r="63" spans="1:7" x14ac:dyDescent="0.2">
      <c r="A63" s="18" t="s">
        <v>94</v>
      </c>
    </row>
    <row r="64" spans="1:7" x14ac:dyDescent="0.2">
      <c r="A64" s="1" t="s">
        <v>90</v>
      </c>
      <c r="B64" s="8">
        <f>(B23/B24)*(1+(B6/(6*B60^3))*(B24^2-B23^2))</f>
        <v>0.50000414557941664</v>
      </c>
    </row>
    <row r="65" spans="1:2" x14ac:dyDescent="0.2">
      <c r="A65" s="1" t="s">
        <v>91</v>
      </c>
      <c r="B65" s="8">
        <f>-(B22/B24)*(1+(B6/(6*B60^3))*(B24^2-B22^2))</f>
        <v>0.50000414557941664</v>
      </c>
    </row>
    <row r="66" spans="1:2" x14ac:dyDescent="0.2">
      <c r="A66" s="1" t="s">
        <v>92</v>
      </c>
      <c r="B66" s="10">
        <f>(1/B33)*(-B64*C37+C38-B65*C39)</f>
        <v>-6713.2334743114898</v>
      </c>
    </row>
    <row r="67" spans="1:2" x14ac:dyDescent="0.2">
      <c r="A67" s="1" t="s">
        <v>93</v>
      </c>
      <c r="B67" s="10">
        <f>SQRT((E10+B66*B18)^2+(F10+B66*C18)^2+(G10+B66*D18)^2)</f>
        <v>2755.301880555211</v>
      </c>
    </row>
    <row r="68" spans="1:2" x14ac:dyDescent="0.2">
      <c r="A68" s="1" t="s">
        <v>59</v>
      </c>
      <c r="B68" s="11">
        <f>ABS(B66-B59)</f>
        <v>45053.634427226236</v>
      </c>
    </row>
    <row r="70" spans="1:2" x14ac:dyDescent="0.2">
      <c r="A70" s="18" t="s">
        <v>95</v>
      </c>
    </row>
    <row r="71" spans="1:2" x14ac:dyDescent="0.2">
      <c r="A71" s="1" t="s">
        <v>90</v>
      </c>
      <c r="B71" s="8">
        <f>(B23/B24)*(1+(B6/(6*B67^3))*(B24^2-B23^2))</f>
        <v>0.51715033941085331</v>
      </c>
    </row>
    <row r="72" spans="1:2" x14ac:dyDescent="0.2">
      <c r="A72" s="1" t="s">
        <v>91</v>
      </c>
      <c r="B72" s="8">
        <f>-(B22/B24)*(1+(B6/(6*B67^3))*(B24^2-B22^2))</f>
        <v>0.51715033941085331</v>
      </c>
    </row>
    <row r="73" spans="1:2" x14ac:dyDescent="0.2">
      <c r="A73" s="1" t="s">
        <v>92</v>
      </c>
      <c r="B73" s="10">
        <f>(1/B33)*(-B71*C37+C38-B72*C39)</f>
        <v>38516.63038155438</v>
      </c>
    </row>
    <row r="74" spans="1:2" x14ac:dyDescent="0.2">
      <c r="A74" s="1" t="s">
        <v>93</v>
      </c>
      <c r="B74" s="10">
        <f>SQRT((E10+B73*B18)^2+(F10+B73*C18)^2+(G10+B73*D18)^2)</f>
        <v>44407.426287482835</v>
      </c>
    </row>
    <row r="75" spans="1:2" x14ac:dyDescent="0.2">
      <c r="A75" s="1" t="s">
        <v>59</v>
      </c>
      <c r="B75" s="11">
        <f>ABS(B73-B66)</f>
        <v>45229.863855865871</v>
      </c>
    </row>
    <row r="77" spans="1:2" x14ac:dyDescent="0.2">
      <c r="A77" s="18" t="s">
        <v>96</v>
      </c>
    </row>
    <row r="78" spans="1:2" x14ac:dyDescent="0.2">
      <c r="A78" s="1" t="s">
        <v>90</v>
      </c>
      <c r="B78" s="8">
        <f>(B23/B24)*(1+(B6/(6*B74^3))*(B24^2-B23^2))</f>
        <v>0.50000409650485989</v>
      </c>
    </row>
    <row r="79" spans="1:2" x14ac:dyDescent="0.2">
      <c r="A79" s="1" t="s">
        <v>91</v>
      </c>
      <c r="B79" s="8">
        <f>-(B22/B24)*(1+(B6/(6*B74^3))*(B24^2-B22^2))</f>
        <v>0.50000409650485989</v>
      </c>
    </row>
    <row r="80" spans="1:2" x14ac:dyDescent="0.2">
      <c r="A80" s="1" t="s">
        <v>92</v>
      </c>
      <c r="B80" s="10">
        <f>(1/B33)*(-B78*C37+C38-B79*C39)</f>
        <v>-6713.3629278532762</v>
      </c>
    </row>
    <row r="81" spans="1:7" x14ac:dyDescent="0.2">
      <c r="A81" s="1" t="s">
        <v>93</v>
      </c>
      <c r="B81" s="10">
        <f>SQRT((E10+B80*B18)^2+(F10+B80*C18)^2+(G10+B80*D18)^2)</f>
        <v>2755.3441156809877</v>
      </c>
    </row>
    <row r="82" spans="1:7" x14ac:dyDescent="0.2">
      <c r="A82" s="1" t="s">
        <v>59</v>
      </c>
      <c r="B82" s="11">
        <f>ABS(B80-B73)</f>
        <v>45229.993309407655</v>
      </c>
    </row>
    <row r="84" spans="1:7" x14ac:dyDescent="0.2">
      <c r="A84" s="18" t="s">
        <v>97</v>
      </c>
    </row>
    <row r="85" spans="1:7" x14ac:dyDescent="0.2">
      <c r="A85" s="1" t="s">
        <v>90</v>
      </c>
      <c r="B85" s="8">
        <f>(B23/B24)*(1+(B6/(6*B81^3))*(B24^2-B23^2))</f>
        <v>0.51714955075911839</v>
      </c>
    </row>
    <row r="86" spans="1:7" x14ac:dyDescent="0.2">
      <c r="A86" s="1" t="s">
        <v>91</v>
      </c>
      <c r="B86" s="8">
        <f>-(B22/B24)*(1+(B6/(6*B81^3))*(B24^2-B22^2))</f>
        <v>0.51714955075911839</v>
      </c>
    </row>
    <row r="87" spans="1:7" x14ac:dyDescent="0.2">
      <c r="A87" s="1" t="s">
        <v>92</v>
      </c>
      <c r="B87" s="10">
        <f>(1/B33)*(-B85*C37+C38-B86*C39)</f>
        <v>38514.550000861818</v>
      </c>
    </row>
    <row r="88" spans="1:7" x14ac:dyDescent="0.2">
      <c r="A88" s="1" t="s">
        <v>93</v>
      </c>
      <c r="B88" s="10">
        <f>SQRT((E10+B87*B18)^2+(F10+B87*C18)^2+(G10+B87*D18)^2)</f>
        <v>44405.349488496016</v>
      </c>
    </row>
    <row r="89" spans="1:7" x14ac:dyDescent="0.2">
      <c r="A89" s="1" t="s">
        <v>59</v>
      </c>
      <c r="B89" s="11">
        <f>ABS(B87-B80)</f>
        <v>45227.912928715094</v>
      </c>
    </row>
    <row r="91" spans="1:7" x14ac:dyDescent="0.2">
      <c r="A91" s="21" t="s">
        <v>98</v>
      </c>
      <c r="B91" s="21"/>
      <c r="C91" s="21"/>
      <c r="D91" s="21"/>
      <c r="E91" s="21"/>
      <c r="F91" s="21"/>
      <c r="G91" s="21"/>
    </row>
    <row r="92" spans="1:7" x14ac:dyDescent="0.2">
      <c r="A92" s="1" t="s">
        <v>99</v>
      </c>
      <c r="B92" s="8">
        <f>B85</f>
        <v>0.51714955075911839</v>
      </c>
    </row>
    <row r="93" spans="1:7" x14ac:dyDescent="0.2">
      <c r="A93" s="1" t="s">
        <v>100</v>
      </c>
      <c r="B93" s="8">
        <f>B86</f>
        <v>0.51714955075911839</v>
      </c>
    </row>
    <row r="95" spans="1:7" x14ac:dyDescent="0.2">
      <c r="A95" s="1" t="s">
        <v>19</v>
      </c>
      <c r="B95" s="10">
        <f>(1/(B92*B33))*(-B92*B37+B38-B93*B39)</f>
        <v>35543.639730165429</v>
      </c>
    </row>
    <row r="96" spans="1:7" x14ac:dyDescent="0.2">
      <c r="A96" s="1" t="s">
        <v>20</v>
      </c>
      <c r="B96" s="10">
        <f>(1/B33)*(-B92*C37+C38-B93*C39)</f>
        <v>38514.550000861818</v>
      </c>
    </row>
    <row r="97" spans="1:7" x14ac:dyDescent="0.2">
      <c r="A97" s="1" t="s">
        <v>21</v>
      </c>
      <c r="B97" s="10">
        <f>(1/(B93*B33))*(-B92*D37+D38-B93*D39)</f>
        <v>40207.698649739112</v>
      </c>
    </row>
    <row r="99" spans="1:7" x14ac:dyDescent="0.2">
      <c r="A99" s="3" t="s">
        <v>101</v>
      </c>
    </row>
    <row r="100" spans="1:7" x14ac:dyDescent="0.2">
      <c r="A100" s="4"/>
      <c r="B100" s="4" t="s">
        <v>22</v>
      </c>
      <c r="C100" s="4" t="s">
        <v>23</v>
      </c>
      <c r="D100" s="4" t="s">
        <v>24</v>
      </c>
      <c r="E100" s="4" t="s">
        <v>25</v>
      </c>
    </row>
    <row r="101" spans="1:7" x14ac:dyDescent="0.2">
      <c r="A101" s="1" t="s">
        <v>102</v>
      </c>
      <c r="B101" s="10">
        <f>E9+B95*B17</f>
        <v>-37897.851753765339</v>
      </c>
      <c r="C101" s="10">
        <f>F9+B95*C17</f>
        <v>-16729.755159480548</v>
      </c>
      <c r="D101" s="10">
        <f>G9+B95*D17</f>
        <v>4879.9611830952708</v>
      </c>
      <c r="E101" s="13">
        <f>SQRT(B101^2+C101^2+D101^2)</f>
        <v>41712.658706860886</v>
      </c>
    </row>
    <row r="102" spans="1:7" x14ac:dyDescent="0.2">
      <c r="A102" s="1" t="s">
        <v>103</v>
      </c>
      <c r="B102" s="10">
        <f>E10+B96*B18</f>
        <v>-37231.478822861944</v>
      </c>
      <c r="C102" s="10">
        <f>F10+B96*C18</f>
        <v>-24194.617906434243</v>
      </c>
      <c r="D102" s="10">
        <f>G10+B96*D18</f>
        <v>522.02702986292297</v>
      </c>
      <c r="E102" s="13">
        <f>SQRT(B102^2+C102^2+D102^2)</f>
        <v>44405.349488496016</v>
      </c>
    </row>
    <row r="103" spans="1:7" x14ac:dyDescent="0.2">
      <c r="A103" s="1" t="s">
        <v>104</v>
      </c>
      <c r="B103" s="10">
        <f>E11+B97*B19</f>
        <v>-34095.788709056527</v>
      </c>
      <c r="C103" s="10">
        <f>F11+B97*C19</f>
        <v>-30054.812033740702</v>
      </c>
      <c r="D103" s="10">
        <f>G11+B97*D19</f>
        <v>-3870.5297157437981</v>
      </c>
      <c r="E103" s="13">
        <f>SQRT(B103^2+C103^2+D103^2)</f>
        <v>45615.737792526903</v>
      </c>
    </row>
    <row r="105" spans="1:7" x14ac:dyDescent="0.2">
      <c r="A105" s="21" t="s">
        <v>105</v>
      </c>
      <c r="B105" s="21"/>
      <c r="C105" s="21"/>
      <c r="D105" s="21"/>
      <c r="E105" s="21"/>
      <c r="F105" s="21"/>
      <c r="G105" s="21"/>
    </row>
    <row r="107" spans="1:7" x14ac:dyDescent="0.2">
      <c r="A107" s="1" t="s">
        <v>106</v>
      </c>
      <c r="B107" s="8">
        <f>1-B6*B22^2/(2*E102^3)</f>
        <v>0.99999180584068703</v>
      </c>
    </row>
    <row r="108" spans="1:7" x14ac:dyDescent="0.2">
      <c r="A108" s="1" t="s">
        <v>107</v>
      </c>
      <c r="B108" s="8">
        <f>B22-B6*B22^3/(6*E102^3)</f>
        <v>-59.999836116813739</v>
      </c>
    </row>
    <row r="109" spans="1:7" x14ac:dyDescent="0.2">
      <c r="A109" s="1" t="s">
        <v>108</v>
      </c>
      <c r="B109" s="8">
        <f>1-B6*B23^2/(2*E102^3)</f>
        <v>0.99999180584068703</v>
      </c>
    </row>
    <row r="110" spans="1:7" x14ac:dyDescent="0.2">
      <c r="A110" s="1" t="s">
        <v>109</v>
      </c>
      <c r="B110" s="8">
        <f>B23-B6*B23^3/(6*E102^3)</f>
        <v>59.999836116813739</v>
      </c>
    </row>
    <row r="111" spans="1:7" x14ac:dyDescent="0.2">
      <c r="A111" s="1" t="s">
        <v>110</v>
      </c>
      <c r="B111" s="8">
        <f>B107*B110-B109*B108</f>
        <v>119.99868893719569</v>
      </c>
    </row>
    <row r="113" spans="1:7" x14ac:dyDescent="0.2">
      <c r="A113" s="3" t="s">
        <v>26</v>
      </c>
    </row>
    <row r="114" spans="1:7" x14ac:dyDescent="0.2">
      <c r="A114" s="4"/>
      <c r="B114" s="4" t="s">
        <v>27</v>
      </c>
      <c r="C114" s="4" t="s">
        <v>28</v>
      </c>
      <c r="D114" s="4" t="s">
        <v>29</v>
      </c>
      <c r="E114" s="4" t="s">
        <v>30</v>
      </c>
    </row>
    <row r="115" spans="1:7" x14ac:dyDescent="0.2">
      <c r="A115" s="1" t="s">
        <v>31</v>
      </c>
      <c r="B115" s="12">
        <f>(B107*B103-B109*B101)/B111</f>
        <v>31.683945247005116</v>
      </c>
      <c r="C115" s="12">
        <f>(B107*C103-B109*C101)/B111</f>
        <v>-111.04244391865994</v>
      </c>
      <c r="D115" s="12">
        <f>(B107*D103-B109*D101)/B111</f>
        <v>-72.920956665637632</v>
      </c>
      <c r="E115" s="12">
        <f>SQRT(B115^2+C115^2+D115^2)</f>
        <v>136.57145623766249</v>
      </c>
    </row>
    <row r="117" spans="1:7" x14ac:dyDescent="0.2">
      <c r="A117" s="21" t="s">
        <v>111</v>
      </c>
      <c r="B117" s="21"/>
      <c r="C117" s="21"/>
      <c r="D117" s="21"/>
      <c r="E117" s="21"/>
      <c r="F117" s="21"/>
      <c r="G117" s="21"/>
    </row>
    <row r="119" spans="1:7" x14ac:dyDescent="0.2">
      <c r="A119" s="3" t="s">
        <v>112</v>
      </c>
    </row>
    <row r="120" spans="1:7" x14ac:dyDescent="0.2">
      <c r="A120" s="1" t="s">
        <v>32</v>
      </c>
      <c r="B120" s="9">
        <f>C102*D115-D102*C115</f>
        <v>1822261.8410843301</v>
      </c>
    </row>
    <row r="121" spans="1:7" x14ac:dyDescent="0.2">
      <c r="A121" s="1" t="s">
        <v>33</v>
      </c>
      <c r="B121" s="9">
        <f>D102*B115-B102*D115</f>
        <v>-2698415.1780078877</v>
      </c>
    </row>
    <row r="122" spans="1:7" x14ac:dyDescent="0.2">
      <c r="A122" s="1" t="s">
        <v>34</v>
      </c>
      <c r="B122" s="9">
        <f>B102*C115-C102*B115</f>
        <v>4900855.348216095</v>
      </c>
    </row>
    <row r="123" spans="1:7" x14ac:dyDescent="0.2">
      <c r="A123" s="1" t="s">
        <v>113</v>
      </c>
      <c r="B123" s="9">
        <f>SQRT(B120^2+B121^2+B122^2)</f>
        <v>5883915.8588913977</v>
      </c>
    </row>
    <row r="125" spans="1:7" x14ac:dyDescent="0.2">
      <c r="A125" s="3" t="s">
        <v>114</v>
      </c>
    </row>
    <row r="126" spans="1:7" x14ac:dyDescent="0.2">
      <c r="A126" s="1" t="s">
        <v>115</v>
      </c>
      <c r="B126" s="9">
        <f>-B121</f>
        <v>2698415.1780078877</v>
      </c>
    </row>
    <row r="127" spans="1:7" x14ac:dyDescent="0.2">
      <c r="A127" s="1" t="s">
        <v>116</v>
      </c>
      <c r="B127" s="9">
        <f>B120</f>
        <v>1822261.8410843301</v>
      </c>
    </row>
    <row r="128" spans="1:7" x14ac:dyDescent="0.2">
      <c r="A128" s="1" t="s">
        <v>35</v>
      </c>
      <c r="B128" s="9">
        <f>SQRT(B126^2+B127^2)</f>
        <v>3256083.9501424702</v>
      </c>
    </row>
    <row r="130" spans="1:7" x14ac:dyDescent="0.2">
      <c r="A130" s="3" t="s">
        <v>117</v>
      </c>
    </row>
    <row r="131" spans="1:7" x14ac:dyDescent="0.2">
      <c r="A131" s="1" t="s">
        <v>118</v>
      </c>
      <c r="B131" s="6">
        <f>E115^2</f>
        <v>18651.762658875759</v>
      </c>
    </row>
    <row r="132" spans="1:7" x14ac:dyDescent="0.2">
      <c r="A132" s="1" t="s">
        <v>119</v>
      </c>
      <c r="B132" s="9">
        <f>B102*B115+C102*C115+D102*D115</f>
        <v>1468922.655097116</v>
      </c>
    </row>
    <row r="133" spans="1:7" x14ac:dyDescent="0.2">
      <c r="A133" s="1" t="s">
        <v>36</v>
      </c>
      <c r="B133" s="8">
        <f>(1/B6)*((B131-B6/E102)*B102-B132*B115)</f>
        <v>-1858.1007166170129</v>
      </c>
    </row>
    <row r="134" spans="1:7" x14ac:dyDescent="0.2">
      <c r="A134" s="1" t="s">
        <v>37</v>
      </c>
      <c r="B134" s="8">
        <f>(1/B6)*((B131-B6/E102)*C102-B132*C115)</f>
        <v>-722.38336528668481</v>
      </c>
    </row>
    <row r="135" spans="1:7" x14ac:dyDescent="0.2">
      <c r="A135" s="1" t="s">
        <v>38</v>
      </c>
      <c r="B135" s="8">
        <f>(1/B6)*((B131-B6/E102)*D102-B132*D115)</f>
        <v>293.14388886739232</v>
      </c>
    </row>
    <row r="137" spans="1:7" x14ac:dyDescent="0.2">
      <c r="A137" s="21" t="s">
        <v>120</v>
      </c>
      <c r="B137" s="21"/>
      <c r="C137" s="21"/>
      <c r="D137" s="21"/>
      <c r="E137" s="21"/>
      <c r="F137" s="21"/>
      <c r="G137" s="21"/>
    </row>
    <row r="138" spans="1:7" x14ac:dyDescent="0.2">
      <c r="A138" s="4" t="s">
        <v>39</v>
      </c>
      <c r="B138" s="4" t="s">
        <v>40</v>
      </c>
      <c r="C138" s="4" t="s">
        <v>41</v>
      </c>
    </row>
    <row r="139" spans="1:7" x14ac:dyDescent="0.2">
      <c r="A139" s="1" t="s">
        <v>42</v>
      </c>
      <c r="B139" s="12">
        <f>SQRT(B133^2+B134^2+B135^2)</f>
        <v>2015.020927711638</v>
      </c>
      <c r="C139" t="s">
        <v>43</v>
      </c>
    </row>
    <row r="140" spans="1:7" x14ac:dyDescent="0.2">
      <c r="A140" s="1" t="s">
        <v>44</v>
      </c>
      <c r="B140" s="13">
        <f>B123^2/(B6*(1-B139^2))</f>
        <v>-21.391247687503313</v>
      </c>
      <c r="C140" t="s">
        <v>45</v>
      </c>
    </row>
    <row r="141" spans="1:7" x14ac:dyDescent="0.2">
      <c r="A141" s="1" t="s">
        <v>46</v>
      </c>
      <c r="B141" s="14">
        <f>DEGREES(ACOS(B122/B123))</f>
        <v>33.59970348564179</v>
      </c>
      <c r="C141" t="s">
        <v>47</v>
      </c>
    </row>
    <row r="142" spans="1:7" x14ac:dyDescent="0.2">
      <c r="A142" s="1" t="s">
        <v>48</v>
      </c>
      <c r="B142" s="14">
        <f>IF(B127&gt;=0,DEGREES(ACOS(B126/B128)),360-DEGREES(ACOS(B126/B128)))</f>
        <v>34.031478700710295</v>
      </c>
      <c r="C142" t="s">
        <v>47</v>
      </c>
    </row>
    <row r="143" spans="1:7" x14ac:dyDescent="0.2">
      <c r="A143" s="1" t="s">
        <v>49</v>
      </c>
      <c r="B143" s="14">
        <f>IF(B135&gt;=0,DEGREES(ACOS((B126*B133+B127*B134)/(B128*B139))),360-DEGREES(ACOS((B126*B133+B127*B134)/(B128*B139))))</f>
        <v>164.75845523613015</v>
      </c>
      <c r="C143" t="s">
        <v>47</v>
      </c>
    </row>
    <row r="144" spans="1:7" x14ac:dyDescent="0.2">
      <c r="A144" s="1" t="s">
        <v>121</v>
      </c>
      <c r="B144" s="14">
        <f>IF(B132&gt;=0,DEGREES(ACOS((B133*B102+B134*C102+B135*D102)/(B139*E102))),360-DEGREES(ACOS((B133*B102+B134*C102+B135*D102)/(B139*E102))))</f>
        <v>14.024283332578817</v>
      </c>
      <c r="C144" t="s">
        <v>47</v>
      </c>
    </row>
    <row r="146" spans="1:3" x14ac:dyDescent="0.2">
      <c r="A146" s="3" t="s">
        <v>50</v>
      </c>
    </row>
    <row r="147" spans="1:3" x14ac:dyDescent="0.2">
      <c r="A147" s="1" t="s">
        <v>122</v>
      </c>
      <c r="B147" s="10">
        <f>B140*(1-B139)</f>
        <v>43082.420512494857</v>
      </c>
      <c r="C147" t="s">
        <v>45</v>
      </c>
    </row>
    <row r="148" spans="1:3" x14ac:dyDescent="0.2">
      <c r="A148" s="1" t="s">
        <v>123</v>
      </c>
      <c r="B148" s="10">
        <f>B140*(1+B139)</f>
        <v>-43125.203007869859</v>
      </c>
      <c r="C148" t="s">
        <v>45</v>
      </c>
    </row>
    <row r="149" spans="1:3" x14ac:dyDescent="0.2">
      <c r="A149" s="1" t="s">
        <v>124</v>
      </c>
      <c r="B149" s="15" t="e">
        <f>2*PI()*SQRT(B140^3/B6)/60</f>
        <v>#NUM!</v>
      </c>
      <c r="C149" t="s">
        <v>125</v>
      </c>
    </row>
    <row r="150" spans="1:3" x14ac:dyDescent="0.2">
      <c r="A150" s="1" t="s">
        <v>51</v>
      </c>
      <c r="B150" s="16" t="str">
        <f>IF(B139&lt;0.001,"Circular",IF(B139&lt;1,"Elliptical",IF(ABS(B139-1)&lt;0.001,"Parabolic","Hyperbolic")))</f>
        <v>Hyperbolic</v>
      </c>
    </row>
  </sheetData>
  <mergeCells count="14">
    <mergeCell ref="A26:G26"/>
    <mergeCell ref="A1:G1"/>
    <mergeCell ref="A2:G2"/>
    <mergeCell ref="A4:G4"/>
    <mergeCell ref="A15:G15"/>
    <mergeCell ref="A21:G21"/>
    <mergeCell ref="A137:G137"/>
    <mergeCell ref="A91:G91"/>
    <mergeCell ref="A105:G105"/>
    <mergeCell ref="A117:G117"/>
    <mergeCell ref="A32:G32"/>
    <mergeCell ref="A35:G35"/>
    <mergeCell ref="A41:G41"/>
    <mergeCell ref="A55:G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Gauss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Valencik</dc:creator>
  <cp:lastModifiedBy>Maxime Valencik</cp:lastModifiedBy>
  <dcterms:created xsi:type="dcterms:W3CDTF">2026-03-22T01:43:43Z</dcterms:created>
  <dcterms:modified xsi:type="dcterms:W3CDTF">2026-03-28T01:30:28Z</dcterms:modified>
</cp:coreProperties>
</file>